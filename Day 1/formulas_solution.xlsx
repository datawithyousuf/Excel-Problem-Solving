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ousuf-Ali\Downloads\Day1\"/>
    </mc:Choice>
  </mc:AlternateContent>
  <xr:revisionPtr revIDLastSave="0" documentId="13_ncr:1_{858EF725-D155-4F4F-9719-38A317EED1C9}" xr6:coauthVersionLast="47" xr6:coauthVersionMax="47" xr10:uidLastSave="{00000000-0000-0000-0000-000000000000}"/>
  <bookViews>
    <workbookView xWindow="7485" yWindow="1305" windowWidth="16500" windowHeight="12930" activeTab="1" xr2:uid="{4309E53E-14E1-441D-B2E8-711A1FE96356}"/>
  </bookViews>
  <sheets>
    <sheet name="Sales_Data" sheetId="1" r:id="rId1"/>
    <sheet name="formula_work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3" l="1"/>
  <c r="C49" i="3"/>
  <c r="C47" i="3"/>
  <c r="B47" i="3" a="1"/>
  <c r="B47" i="3" s="1"/>
  <c r="C42" i="3"/>
  <c r="B41" i="3" a="1"/>
  <c r="B41" i="3" s="1"/>
  <c r="C41" i="3" s="1"/>
  <c r="B6" i="3"/>
  <c r="B54" i="3" a="1"/>
  <c r="B54" i="3" s="1"/>
  <c r="B68" i="3" a="1"/>
  <c r="B68" i="3" s="1"/>
  <c r="B59" i="3" a="1"/>
  <c r="B59" i="3" s="1"/>
  <c r="C59" i="3" s="1"/>
  <c r="B30" i="3" a="1"/>
  <c r="B30" i="3" s="1"/>
  <c r="B20" i="3" a="1"/>
  <c r="B20" i="3" s="1"/>
  <c r="C20" i="3" s="1"/>
  <c r="B16" i="3"/>
  <c r="B11" i="3"/>
  <c r="C60" i="3" l="1"/>
  <c r="C69" i="3"/>
  <c r="D69" i="3"/>
  <c r="D68" i="3"/>
  <c r="C68" i="3"/>
  <c r="C24" i="3"/>
  <c r="C23" i="3"/>
  <c r="C25" i="3"/>
  <c r="C22" i="3"/>
  <c r="C26" i="3"/>
  <c r="C21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<sst xmlns="http://schemas.openxmlformats.org/spreadsheetml/2006/main" count="97" uniqueCount="64">
  <si>
    <t>Order_ID</t>
  </si>
  <si>
    <t>Order_Date</t>
  </si>
  <si>
    <t>Customer_Name</t>
  </si>
  <si>
    <t>Product</t>
  </si>
  <si>
    <t>Category</t>
  </si>
  <si>
    <t>Quantity</t>
  </si>
  <si>
    <t>Unit_Price</t>
  </si>
  <si>
    <t>Sales_Amount</t>
  </si>
  <si>
    <t>Region</t>
  </si>
  <si>
    <t>2024-01-02</t>
  </si>
  <si>
    <t>Ayaan Khan</t>
  </si>
  <si>
    <t>Laptop</t>
  </si>
  <si>
    <t>Electronics</t>
  </si>
  <si>
    <t>Asia</t>
  </si>
  <si>
    <t>2024-01-03</t>
  </si>
  <si>
    <t>Sara Ali</t>
  </si>
  <si>
    <t>Mouse</t>
  </si>
  <si>
    <t>Europe</t>
  </si>
  <si>
    <t>2024-01-05</t>
  </si>
  <si>
    <t>John Smith</t>
  </si>
  <si>
    <t>Desk</t>
  </si>
  <si>
    <t>Furniture</t>
  </si>
  <si>
    <t>USA</t>
  </si>
  <si>
    <t>2024-01-06</t>
  </si>
  <si>
    <t>Nina Roy</t>
  </si>
  <si>
    <t>Chair</t>
  </si>
  <si>
    <t>2024-01-08</t>
  </si>
  <si>
    <t>Omar Faruk</t>
  </si>
  <si>
    <t>Keyboard</t>
  </si>
  <si>
    <t>2024-01-10</t>
  </si>
  <si>
    <t>Liam Brown</t>
  </si>
  <si>
    <t>Monitor</t>
  </si>
  <si>
    <t>2024-01-12</t>
  </si>
  <si>
    <t>Sophia Lee</t>
  </si>
  <si>
    <t>Table</t>
  </si>
  <si>
    <t>2024-01-14</t>
  </si>
  <si>
    <t>Arif Hasan</t>
  </si>
  <si>
    <t>2024-01-15</t>
  </si>
  <si>
    <t>Emma Wilson</t>
  </si>
  <si>
    <t>2024-01-18</t>
  </si>
  <si>
    <t>Noah Kim</t>
  </si>
  <si>
    <t>1. Calculate total sales revenue.</t>
  </si>
  <si>
    <t>2. Find average sales amount per order.</t>
  </si>
  <si>
    <t>3. Count total number of orders.</t>
  </si>
  <si>
    <t>4. Find total quantity sold per product.</t>
  </si>
  <si>
    <t>5. Identify the highest selling product by sales amount.</t>
  </si>
  <si>
    <t>6. Calculate total sales by category.</t>
  </si>
  <si>
    <t>7. Find total sales by region.</t>
  </si>
  <si>
    <t>8. Identify the order with the highest sales amount.</t>
  </si>
  <si>
    <t>9. Calculate average unit price per category.</t>
  </si>
  <si>
    <t>10. Create a summary table showing:</t>
  </si>
  <si>
    <t xml:space="preserve">    - Product</t>
  </si>
  <si>
    <t xml:space="preserve">    - Total Quantity</t>
  </si>
  <si>
    <t xml:space="preserve">    - Total Sales</t>
  </si>
  <si>
    <t>Sales Revenue</t>
  </si>
  <si>
    <t>Average</t>
  </si>
  <si>
    <t>Count Total order</t>
  </si>
  <si>
    <t>Total Quantity Sold</t>
  </si>
  <si>
    <t>Total Sales</t>
  </si>
  <si>
    <t>Total Quantity</t>
  </si>
  <si>
    <t>Average Unit Price</t>
  </si>
  <si>
    <t xml:space="preserve">Product </t>
  </si>
  <si>
    <t>Sales Amount</t>
  </si>
  <si>
    <t>**Formula-Based Approach**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</si>
</sst>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6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center" vertical="center"/>
    </xf>
    <xf numFmtId="44" fontId="0" fillId="0" borderId="0" xfId="1" applyFont="1"/>
    <xf numFmtId="164" fontId="0" fillId="0" borderId="0" xfId="1" applyNumberFormat="1" applyFont="1"/>
    <xf numFmtId="0" fontId="0" fillId="3" borderId="0" xfId="0" applyFill="1" applyAlignment="1">
      <alignment horizontal="center" vertical="center"/>
    </xf>
    <xf numFmtId="44" fontId="0" fillId="4" borderId="0" xfId="1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166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2A865-9C1C-43FF-BDAA-1809B03D7F22}">
  <dimension ref="A1:I11"/>
  <sheetViews>
    <sheetView workbookViewId="0">
      <selection activeCell="I11" sqref="I11"/>
    </sheetView>
  </sheetViews>
  <sheetFormatPr defaultRowHeight="15" x14ac:dyDescent="0.25"/>
  <cols>
    <col min="1" max="1" width="9" bestFit="1" customWidth="1"/>
    <col min="2" max="2" width="11.28515625" bestFit="1" customWidth="1"/>
    <col min="3" max="3" width="16" bestFit="1" customWidth="1"/>
    <col min="4" max="4" width="9.42578125" bestFit="1" customWidth="1"/>
    <col min="5" max="5" width="10.5703125" bestFit="1" customWidth="1"/>
    <col min="6" max="6" width="8.7109375" bestFit="1" customWidth="1"/>
    <col min="7" max="7" width="10.140625" bestFit="1" customWidth="1"/>
    <col min="8" max="8" width="13.85546875" bestFit="1" customWidth="1"/>
    <col min="9" max="9" width="7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1001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800</v>
      </c>
      <c r="H2">
        <v>800</v>
      </c>
      <c r="I2" t="s">
        <v>13</v>
      </c>
    </row>
    <row r="3" spans="1:9" x14ac:dyDescent="0.25">
      <c r="A3">
        <v>1002</v>
      </c>
      <c r="B3" t="s">
        <v>14</v>
      </c>
      <c r="C3" t="s">
        <v>15</v>
      </c>
      <c r="D3" t="s">
        <v>16</v>
      </c>
      <c r="E3" t="s">
        <v>12</v>
      </c>
      <c r="F3">
        <v>2</v>
      </c>
      <c r="G3">
        <v>20</v>
      </c>
      <c r="H3">
        <v>40</v>
      </c>
      <c r="I3" t="s">
        <v>17</v>
      </c>
    </row>
    <row r="4" spans="1:9" x14ac:dyDescent="0.25">
      <c r="A4">
        <v>1003</v>
      </c>
      <c r="B4" t="s">
        <v>18</v>
      </c>
      <c r="C4" t="s">
        <v>19</v>
      </c>
      <c r="D4" t="s">
        <v>20</v>
      </c>
      <c r="E4" t="s">
        <v>21</v>
      </c>
      <c r="F4">
        <v>1</v>
      </c>
      <c r="G4">
        <v>150</v>
      </c>
      <c r="H4">
        <v>150</v>
      </c>
      <c r="I4" t="s">
        <v>22</v>
      </c>
    </row>
    <row r="5" spans="1:9" x14ac:dyDescent="0.25">
      <c r="A5">
        <v>1004</v>
      </c>
      <c r="B5" t="s">
        <v>23</v>
      </c>
      <c r="C5" t="s">
        <v>24</v>
      </c>
      <c r="D5" t="s">
        <v>25</v>
      </c>
      <c r="E5" t="s">
        <v>21</v>
      </c>
      <c r="F5">
        <v>4</v>
      </c>
      <c r="G5">
        <v>75</v>
      </c>
      <c r="H5">
        <v>300</v>
      </c>
      <c r="I5" t="s">
        <v>13</v>
      </c>
    </row>
    <row r="6" spans="1:9" x14ac:dyDescent="0.25">
      <c r="A6">
        <v>1005</v>
      </c>
      <c r="B6" t="s">
        <v>26</v>
      </c>
      <c r="C6" t="s">
        <v>27</v>
      </c>
      <c r="D6" t="s">
        <v>28</v>
      </c>
      <c r="E6" t="s">
        <v>12</v>
      </c>
      <c r="F6">
        <v>3</v>
      </c>
      <c r="G6">
        <v>30</v>
      </c>
      <c r="H6">
        <v>90</v>
      </c>
      <c r="I6" t="s">
        <v>13</v>
      </c>
    </row>
    <row r="7" spans="1:9" x14ac:dyDescent="0.25">
      <c r="A7">
        <v>1006</v>
      </c>
      <c r="B7" t="s">
        <v>29</v>
      </c>
      <c r="C7" t="s">
        <v>30</v>
      </c>
      <c r="D7" t="s">
        <v>31</v>
      </c>
      <c r="E7" t="s">
        <v>12</v>
      </c>
      <c r="F7">
        <v>2</v>
      </c>
      <c r="G7">
        <v>200</v>
      </c>
      <c r="H7">
        <v>400</v>
      </c>
      <c r="I7" t="s">
        <v>17</v>
      </c>
    </row>
    <row r="8" spans="1:9" x14ac:dyDescent="0.25">
      <c r="A8">
        <v>1007</v>
      </c>
      <c r="B8" t="s">
        <v>32</v>
      </c>
      <c r="C8" t="s">
        <v>33</v>
      </c>
      <c r="D8" t="s">
        <v>34</v>
      </c>
      <c r="E8" t="s">
        <v>21</v>
      </c>
      <c r="F8">
        <v>1</v>
      </c>
      <c r="G8">
        <v>250</v>
      </c>
      <c r="H8">
        <v>250</v>
      </c>
      <c r="I8" t="s">
        <v>22</v>
      </c>
    </row>
    <row r="9" spans="1:9" x14ac:dyDescent="0.25">
      <c r="A9">
        <v>1008</v>
      </c>
      <c r="B9" t="s">
        <v>35</v>
      </c>
      <c r="C9" t="s">
        <v>36</v>
      </c>
      <c r="D9" t="s">
        <v>16</v>
      </c>
      <c r="E9" t="s">
        <v>12</v>
      </c>
      <c r="F9">
        <v>5</v>
      </c>
      <c r="G9">
        <v>20</v>
      </c>
      <c r="H9">
        <v>100</v>
      </c>
      <c r="I9" t="s">
        <v>13</v>
      </c>
    </row>
    <row r="10" spans="1:9" x14ac:dyDescent="0.25">
      <c r="A10">
        <v>1009</v>
      </c>
      <c r="B10" t="s">
        <v>37</v>
      </c>
      <c r="C10" t="s">
        <v>38</v>
      </c>
      <c r="D10" t="s">
        <v>25</v>
      </c>
      <c r="E10" t="s">
        <v>21</v>
      </c>
      <c r="F10">
        <v>2</v>
      </c>
      <c r="G10">
        <v>75</v>
      </c>
      <c r="H10">
        <v>150</v>
      </c>
      <c r="I10" t="s">
        <v>17</v>
      </c>
    </row>
    <row r="11" spans="1:9" x14ac:dyDescent="0.25">
      <c r="A11">
        <v>1010</v>
      </c>
      <c r="B11" t="s">
        <v>39</v>
      </c>
      <c r="C11" t="s">
        <v>40</v>
      </c>
      <c r="D11" t="s">
        <v>11</v>
      </c>
      <c r="E11" t="s">
        <v>12</v>
      </c>
      <c r="F11">
        <v>1</v>
      </c>
      <c r="G11">
        <v>820</v>
      </c>
      <c r="H11">
        <v>820</v>
      </c>
      <c r="I1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8385A-11E7-46A3-AF36-861B7058A6C3}">
  <dimension ref="A1:J69"/>
  <sheetViews>
    <sheetView tabSelected="1" topLeftCell="A72" workbookViewId="0">
      <selection activeCell="B73" sqref="B73"/>
    </sheetView>
  </sheetViews>
  <sheetFormatPr defaultRowHeight="15" x14ac:dyDescent="0.25"/>
  <cols>
    <col min="1" max="1" width="50.7109375" bestFit="1" customWidth="1"/>
    <col min="2" max="2" width="16.5703125" bestFit="1" customWidth="1"/>
    <col min="3" max="3" width="17.5703125" bestFit="1" customWidth="1"/>
    <col min="4" max="4" width="16" bestFit="1" customWidth="1"/>
    <col min="5" max="5" width="7.85546875" bestFit="1" customWidth="1"/>
    <col min="6" max="6" width="10.5703125" bestFit="1" customWidth="1"/>
    <col min="7" max="7" width="8.7109375" bestFit="1" customWidth="1"/>
    <col min="8" max="8" width="10.140625" bestFit="1" customWidth="1"/>
    <col min="9" max="9" width="13.85546875" bestFit="1" customWidth="1"/>
    <col min="10" max="10" width="7.140625" bestFit="1" customWidth="1"/>
  </cols>
  <sheetData>
    <row r="1" spans="1:3" ht="28.5" x14ac:dyDescent="0.45">
      <c r="A1" s="10" t="s">
        <v>63</v>
      </c>
      <c r="B1" s="10"/>
      <c r="C1" s="10"/>
    </row>
    <row r="4" spans="1:3" x14ac:dyDescent="0.25">
      <c r="A4" s="1" t="s">
        <v>41</v>
      </c>
    </row>
    <row r="5" spans="1:3" x14ac:dyDescent="0.25">
      <c r="B5" s="2" t="s">
        <v>54</v>
      </c>
    </row>
    <row r="6" spans="1:3" x14ac:dyDescent="0.25">
      <c r="B6">
        <f>SUM(Sales_Data!H2:H11)</f>
        <v>3100</v>
      </c>
    </row>
    <row r="9" spans="1:3" x14ac:dyDescent="0.25">
      <c r="A9" s="1" t="s">
        <v>42</v>
      </c>
    </row>
    <row r="10" spans="1:3" x14ac:dyDescent="0.25">
      <c r="B10" s="2" t="s">
        <v>55</v>
      </c>
    </row>
    <row r="11" spans="1:3" x14ac:dyDescent="0.25">
      <c r="B11">
        <f>AVERAGE(Sales_Data!H2:H11)</f>
        <v>310</v>
      </c>
    </row>
    <row r="14" spans="1:3" x14ac:dyDescent="0.25">
      <c r="A14" s="1" t="s">
        <v>43</v>
      </c>
    </row>
    <row r="15" spans="1:3" x14ac:dyDescent="0.25">
      <c r="B15" s="2" t="s">
        <v>56</v>
      </c>
    </row>
    <row r="16" spans="1:3" x14ac:dyDescent="0.25">
      <c r="B16">
        <f>COUNT(Sales_Data!A2:A11)</f>
        <v>10</v>
      </c>
    </row>
    <row r="18" spans="1:3" x14ac:dyDescent="0.25">
      <c r="A18" s="1" t="s">
        <v>44</v>
      </c>
    </row>
    <row r="19" spans="1:3" x14ac:dyDescent="0.25">
      <c r="B19" s="9" t="s">
        <v>57</v>
      </c>
      <c r="C19" s="9"/>
    </row>
    <row r="20" spans="1:3" x14ac:dyDescent="0.25">
      <c r="B20" t="str" cm="1">
        <f t="array" ref="B20:B26">_xlfn.UNIQUE(Sales_Data!D2:D11)</f>
        <v>Laptop</v>
      </c>
      <c r="C20">
        <f>SUMIF(Sales_Data!D2:D11,formula_work!B20,Sales_Data!F2:F11)</f>
        <v>2</v>
      </c>
    </row>
    <row r="21" spans="1:3" x14ac:dyDescent="0.25">
      <c r="B21" t="str">
        <v>Mouse</v>
      </c>
      <c r="C21">
        <f>SUMIF(Sales_Data!D3:D12,formula_work!B21,Sales_Data!F3:F12)</f>
        <v>7</v>
      </c>
    </row>
    <row r="22" spans="1:3" x14ac:dyDescent="0.25">
      <c r="B22" t="str">
        <v>Desk</v>
      </c>
      <c r="C22">
        <f>SUMIF(Sales_Data!D4:D13,formula_work!B22,Sales_Data!F4:F13)</f>
        <v>1</v>
      </c>
    </row>
    <row r="23" spans="1:3" x14ac:dyDescent="0.25">
      <c r="B23" t="str">
        <v>Chair</v>
      </c>
      <c r="C23">
        <f>SUMIF(Sales_Data!D5:D14,formula_work!B23,Sales_Data!F5:F14)</f>
        <v>6</v>
      </c>
    </row>
    <row r="24" spans="1:3" x14ac:dyDescent="0.25">
      <c r="B24" t="str">
        <v>Keyboard</v>
      </c>
      <c r="C24">
        <f>SUMIF(Sales_Data!D6:D15,formula_work!B24,Sales_Data!F6:F15)</f>
        <v>3</v>
      </c>
    </row>
    <row r="25" spans="1:3" x14ac:dyDescent="0.25">
      <c r="B25" t="str">
        <v>Monitor</v>
      </c>
      <c r="C25">
        <f>SUMIF(Sales_Data!D7:D16,formula_work!B25,Sales_Data!F7:F16)</f>
        <v>2</v>
      </c>
    </row>
    <row r="26" spans="1:3" x14ac:dyDescent="0.25">
      <c r="B26" t="str">
        <v>Table</v>
      </c>
      <c r="C26">
        <f>SUMIF(Sales_Data!D8:D17,formula_work!B26,Sales_Data!F8:F17)</f>
        <v>1</v>
      </c>
    </row>
    <row r="28" spans="1:3" x14ac:dyDescent="0.25">
      <c r="A28" s="1" t="s">
        <v>45</v>
      </c>
    </row>
    <row r="29" spans="1:3" x14ac:dyDescent="0.25">
      <c r="B29" s="7" t="s">
        <v>61</v>
      </c>
      <c r="C29" s="7" t="s">
        <v>62</v>
      </c>
    </row>
    <row r="30" spans="1:3" x14ac:dyDescent="0.25">
      <c r="B30" t="str" cm="1">
        <f t="array" ref="B30:C36">_xlfn._xlws.SORT(_xlfn.HSTACK(_xlfn.UNIQUE(Sales_Data!D2:D11),_xlfn.BYROW(_xlfn.UNIQUE(Sales_Data!D2:D11),_xlfn.LAMBDA(_xlpm.p,SUMIF(Sales_Data!D2:D11,_xlpm.p,Sales_Data!H2:H11)))),2,-1,FALSE)</f>
        <v>Laptop</v>
      </c>
      <c r="C30" s="5">
        <v>1620</v>
      </c>
    </row>
    <row r="31" spans="1:3" x14ac:dyDescent="0.25">
      <c r="B31" t="str">
        <v>Chair</v>
      </c>
      <c r="C31" s="5">
        <v>450</v>
      </c>
    </row>
    <row r="32" spans="1:3" x14ac:dyDescent="0.25">
      <c r="B32" t="str">
        <v>Monitor</v>
      </c>
      <c r="C32" s="5">
        <v>400</v>
      </c>
    </row>
    <row r="33" spans="1:3" x14ac:dyDescent="0.25">
      <c r="B33" t="str">
        <v>Table</v>
      </c>
      <c r="C33" s="5">
        <v>250</v>
      </c>
    </row>
    <row r="34" spans="1:3" x14ac:dyDescent="0.25">
      <c r="B34" t="str">
        <v>Desk</v>
      </c>
      <c r="C34" s="5">
        <v>150</v>
      </c>
    </row>
    <row r="35" spans="1:3" x14ac:dyDescent="0.25">
      <c r="B35" t="str">
        <v>Mouse</v>
      </c>
      <c r="C35" s="5">
        <v>140</v>
      </c>
    </row>
    <row r="36" spans="1:3" x14ac:dyDescent="0.25">
      <c r="B36" t="str">
        <v>Keyboard</v>
      </c>
      <c r="C36" s="5">
        <v>90</v>
      </c>
    </row>
    <row r="37" spans="1:3" x14ac:dyDescent="0.25">
      <c r="C37" s="5"/>
    </row>
    <row r="38" spans="1:3" x14ac:dyDescent="0.25">
      <c r="C38" s="5"/>
    </row>
    <row r="39" spans="1:3" x14ac:dyDescent="0.25">
      <c r="A39" s="1" t="s">
        <v>46</v>
      </c>
      <c r="C39" s="5"/>
    </row>
    <row r="40" spans="1:3" x14ac:dyDescent="0.25">
      <c r="B40" s="4" t="s">
        <v>4</v>
      </c>
      <c r="C40" s="8" t="s">
        <v>58</v>
      </c>
    </row>
    <row r="41" spans="1:3" x14ac:dyDescent="0.25">
      <c r="B41" t="str" cm="1">
        <f t="array" ref="B41:B42">_xlfn.UNIQUE(Sales_Data!E2:E11)</f>
        <v>Electronics</v>
      </c>
      <c r="C41" s="5">
        <f>SUMIF(Sales_Data!E2:E11,formula_work!B41,Sales_Data!$H$2:$H$11)</f>
        <v>2250</v>
      </c>
    </row>
    <row r="42" spans="1:3" x14ac:dyDescent="0.25">
      <c r="B42" t="str">
        <v>Furniture</v>
      </c>
      <c r="C42" s="5">
        <f>SUMIF(Sales_Data!E3:E12,formula_work!B42,Sales_Data!$H$2:$H$11)</f>
        <v>690</v>
      </c>
    </row>
    <row r="45" spans="1:3" x14ac:dyDescent="0.25">
      <c r="A45" s="1" t="s">
        <v>47</v>
      </c>
    </row>
    <row r="46" spans="1:3" x14ac:dyDescent="0.25">
      <c r="B46" s="4" t="s">
        <v>8</v>
      </c>
      <c r="C46" s="4" t="s">
        <v>58</v>
      </c>
    </row>
    <row r="47" spans="1:3" x14ac:dyDescent="0.25">
      <c r="B47" t="str" cm="1">
        <f t="array" ref="B47:B49">_xlfn.UNIQUE(Sales_Data!I2:I11)</f>
        <v>Asia</v>
      </c>
      <c r="C47" s="11">
        <f>SUMIF(Sales_Data!I2:I11,formula_work!B47,Sales_Data!H2:H11)</f>
        <v>1290</v>
      </c>
    </row>
    <row r="48" spans="1:3" x14ac:dyDescent="0.25">
      <c r="B48" t="str">
        <v>Europe</v>
      </c>
      <c r="C48" s="11">
        <f>SUMIF(Sales_Data!I3:I12,formula_work!B48,Sales_Data!H3:H12)</f>
        <v>590</v>
      </c>
    </row>
    <row r="49" spans="1:10" x14ac:dyDescent="0.25">
      <c r="B49" t="str">
        <v>USA</v>
      </c>
      <c r="C49" s="11">
        <f>SUMIF(Sales_Data!I4:I13,formula_work!B49,Sales_Data!H4:H13)</f>
        <v>1220</v>
      </c>
    </row>
    <row r="52" spans="1:10" x14ac:dyDescent="0.25">
      <c r="A52" s="1" t="s">
        <v>48</v>
      </c>
    </row>
    <row r="53" spans="1:10" x14ac:dyDescent="0.25">
      <c r="B53" s="3" t="s">
        <v>0</v>
      </c>
      <c r="C53" s="3" t="s">
        <v>1</v>
      </c>
      <c r="D53" s="3" t="s">
        <v>2</v>
      </c>
      <c r="E53" s="3" t="s">
        <v>3</v>
      </c>
      <c r="F53" s="3" t="s">
        <v>4</v>
      </c>
      <c r="G53" s="3" t="s">
        <v>5</v>
      </c>
      <c r="H53" s="3" t="s">
        <v>6</v>
      </c>
      <c r="I53" s="3" t="s">
        <v>7</v>
      </c>
      <c r="J53" s="3" t="s">
        <v>8</v>
      </c>
    </row>
    <row r="54" spans="1:10" x14ac:dyDescent="0.25">
      <c r="B54" cm="1">
        <f t="array" ref="B54:J54">_xlfn.XLOOKUP(MAX(Sales_Data!A2:A11),Sales_Data!A2:A11,Sales_Data!A2:I11)</f>
        <v>1010</v>
      </c>
      <c r="C54" t="str">
        <v>2024-01-18</v>
      </c>
      <c r="D54" t="str">
        <v>Noah Kim</v>
      </c>
      <c r="E54" t="str">
        <v>Laptop</v>
      </c>
      <c r="F54" t="str">
        <v>Electronics</v>
      </c>
      <c r="G54">
        <v>1</v>
      </c>
      <c r="H54" s="5">
        <v>820</v>
      </c>
      <c r="I54" s="5">
        <v>820</v>
      </c>
      <c r="J54" t="str">
        <v>USA</v>
      </c>
    </row>
    <row r="57" spans="1:10" x14ac:dyDescent="0.25">
      <c r="A57" s="1" t="s">
        <v>49</v>
      </c>
    </row>
    <row r="58" spans="1:10" x14ac:dyDescent="0.25">
      <c r="B58" s="3" t="s">
        <v>4</v>
      </c>
      <c r="C58" s="3" t="s">
        <v>60</v>
      </c>
    </row>
    <row r="59" spans="1:10" x14ac:dyDescent="0.25">
      <c r="B59" t="str" cm="1">
        <f t="array" ref="B59:B60">_xlfn.UNIQUE(Sales_Data!E2:E11)</f>
        <v>Electronics</v>
      </c>
      <c r="C59" s="6">
        <f>AVERAGEIF(Sales_Data!E2:E11,formula_work!B59,Sales_Data!$G$2:$G$11)</f>
        <v>315</v>
      </c>
    </row>
    <row r="60" spans="1:10" x14ac:dyDescent="0.25">
      <c r="B60" t="str">
        <v>Furniture</v>
      </c>
      <c r="C60" s="5">
        <f>AVERAGEIF(Sales_Data!E3:E12,formula_work!B60,Sales_Data!$G$2:$G$11)</f>
        <v>97.5</v>
      </c>
    </row>
    <row r="63" spans="1:10" x14ac:dyDescent="0.25">
      <c r="A63" s="1" t="s">
        <v>50</v>
      </c>
    </row>
    <row r="64" spans="1:10" x14ac:dyDescent="0.25">
      <c r="A64" t="s">
        <v>51</v>
      </c>
    </row>
    <row r="65" spans="1:4" x14ac:dyDescent="0.25">
      <c r="A65" t="s">
        <v>52</v>
      </c>
    </row>
    <row r="66" spans="1:4" x14ac:dyDescent="0.25">
      <c r="A66" t="s">
        <v>53</v>
      </c>
    </row>
    <row r="67" spans="1:4" x14ac:dyDescent="0.25">
      <c r="B67" s="4" t="s">
        <v>3</v>
      </c>
      <c r="C67" s="4" t="s">
        <v>59</v>
      </c>
      <c r="D67" s="4" t="s">
        <v>58</v>
      </c>
    </row>
    <row r="68" spans="1:4" x14ac:dyDescent="0.25">
      <c r="B68" t="str" cm="1">
        <f t="array" ref="B68:B69">_xlfn.UNIQUE(Sales_Data!E2:E11)</f>
        <v>Electronics</v>
      </c>
      <c r="C68">
        <f>SUMIF(Sales_Data!E2:E11,formula_work!B68,Sales_Data!$F$2:$F$11)</f>
        <v>14</v>
      </c>
      <c r="D68" s="5">
        <f>SUMIF(Sales_Data!E2:E11,formula_work!B68,Sales_Data!$H$2:$H$11)</f>
        <v>2250</v>
      </c>
    </row>
    <row r="69" spans="1:4" x14ac:dyDescent="0.25">
      <c r="B69" t="str">
        <v>Furniture</v>
      </c>
      <c r="C69">
        <f>SUMIF(Sales_Data!E3:E12,formula_work!B69,Sales_Data!$F$2:$F$11)</f>
        <v>10</v>
      </c>
      <c r="D69" s="5">
        <f>SUMIF(Sales_Data!E3:E12,formula_work!B69,Sales_Data!$H$2:$H$11)</f>
        <v>690</v>
      </c>
    </row>
  </sheetData>
  <mergeCells count="2">
    <mergeCell ref="B19:C19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formula_work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 Ali</dc:creator>
  <cp:lastModifiedBy>Yousuf Ali</cp:lastModifiedBy>
  <dcterms:created xsi:type="dcterms:W3CDTF">2025-12-22T09:51:49Z</dcterms:created>
  <dcterms:modified xsi:type="dcterms:W3CDTF">2026-01-01T16:15:13Z</dcterms:modified>
</cp:coreProperties>
</file>